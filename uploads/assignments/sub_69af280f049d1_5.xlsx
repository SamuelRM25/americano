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jsaProject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muel Ramirez\iCloudDrive\FarmaCarex\"/>
    </mc:Choice>
  </mc:AlternateContent>
  <xr:revisionPtr revIDLastSave="0" documentId="13_ncr:1_{077AA8D9-8B32-410F-8D92-A96DFBB0E73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</sheets>
  <definedNames>
    <definedName name="_xlnm.Print_Area" localSheetId="0">Hoja1!$A$1:$J$30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24" i="1" s="1"/>
  <c r="J29" i="1" s="1"/>
  <c r="H4" i="1"/>
  <c r="F4" i="1"/>
</calcChain>
</file>

<file path=xl/sharedStrings.xml><?xml version="1.0" encoding="utf-8"?>
<sst xmlns="http://schemas.openxmlformats.org/spreadsheetml/2006/main" count="86" uniqueCount="32">
  <si>
    <t xml:space="preserve">HOJA DE LIQUIDACION DE  COBROS </t>
  </si>
  <si>
    <t>Semana: Gira Huehuetenango Cabecera</t>
  </si>
  <si>
    <t>Nombre</t>
  </si>
  <si>
    <t>Oscar Samuel Ramírez Martínez</t>
  </si>
  <si>
    <t xml:space="preserve">Del: </t>
  </si>
  <si>
    <t>Al:</t>
  </si>
  <si>
    <t>NIT</t>
  </si>
  <si>
    <t xml:space="preserve">EMPRESA </t>
  </si>
  <si>
    <t>NO. DEPOSITO</t>
  </si>
  <si>
    <t>SALDO FACT</t>
  </si>
  <si>
    <t>No. Recibo de Caja</t>
  </si>
  <si>
    <t>Fecha</t>
  </si>
  <si>
    <t>No. Cheque Posfechado</t>
  </si>
  <si>
    <t xml:space="preserve">Banco </t>
  </si>
  <si>
    <t>Valor</t>
  </si>
  <si>
    <t>-</t>
  </si>
  <si>
    <t>Banrural</t>
  </si>
  <si>
    <t>Total Cobrado</t>
  </si>
  <si>
    <t>DESGLOSE:</t>
  </si>
  <si>
    <t>Depositos:</t>
  </si>
  <si>
    <t>Efectivo:</t>
  </si>
  <si>
    <t>Bonos:</t>
  </si>
  <si>
    <t>Cheques:</t>
  </si>
  <si>
    <t>Descuentos:</t>
  </si>
  <si>
    <t>Total Cobrado:</t>
  </si>
  <si>
    <t>Medicinas Lofra</t>
  </si>
  <si>
    <t>BI</t>
  </si>
  <si>
    <t>Farmacia Daniela</t>
  </si>
  <si>
    <t>Milton Alvarado</t>
  </si>
  <si>
    <t>Farmacia Alis</t>
  </si>
  <si>
    <t>Servimedic Familiar</t>
  </si>
  <si>
    <t>Dr Juan Carlos Hurtado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</si>
</sst>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d/mm/yyyy;@"/>
    <numFmt numFmtId="166" formatCode="_(&quot;Q&quot;* #,##0.00_);_(&quot;Q&quot;* \(#,##0.00\);_(&quot;Q&quot;* &quot;-&quot;??_);_(@_)"/>
    <numFmt numFmtId="167" formatCode="dd/mm/yyyy;@"/>
  </numFmts>
  <fonts count="8" x14ac:knownFonts="1">
    <font>
      <sz val="11"/>
      <color theme="1"/>
      <name val="Calibri"/>
    </font>
    <font>
      <sz val="12"/>
      <name val="Arial"/>
    </font>
    <font>
      <sz val="12"/>
      <name val="Calibri"/>
    </font>
    <font>
      <b/>
      <sz val="12"/>
      <name val="Calibri"/>
    </font>
    <font>
      <b/>
      <sz val="18"/>
      <name val="Calibri"/>
    </font>
    <font>
      <b/>
      <sz val="14"/>
      <name val="Calibri"/>
    </font>
    <font>
      <sz val="12"/>
      <color theme="1"/>
      <name val="Calibri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</patternFill>
    </fill>
    <fill>
      <patternFill patternType="solid">
        <fgColor rgb="FFC6D9F0"/>
      </patternFill>
    </fill>
    <fill>
      <patternFill patternType="solid">
        <fgColor theme="4" tint="0.59999389629810485"/>
        <bgColor theme="4" tint="0.59999389629810485"/>
      </patternFill>
    </fill>
  </fills>
  <borders count="36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rgb="FF17375E"/>
      </top>
      <bottom style="medium">
        <color rgb="FF17375E"/>
      </bottom>
      <diagonal/>
    </border>
    <border>
      <left/>
      <right style="medium">
        <color rgb="FF17375E"/>
      </right>
      <top style="medium">
        <color rgb="FF17375E"/>
      </top>
      <bottom style="medium">
        <color rgb="FF17375E"/>
      </bottom>
      <diagonal/>
    </border>
    <border>
      <left/>
      <right style="thin">
        <color auto="1"/>
      </right>
      <top style="medium">
        <color rgb="FF17375E"/>
      </top>
      <bottom style="medium">
        <color rgb="FF17375E"/>
      </bottom>
      <diagonal/>
    </border>
    <border>
      <left style="thin">
        <color auto="1"/>
      </left>
      <right style="thin">
        <color auto="1"/>
      </right>
      <top style="medium">
        <color rgb="FF17375E"/>
      </top>
      <bottom style="medium">
        <color rgb="FF17375E"/>
      </bottom>
      <diagonal/>
    </border>
    <border>
      <left style="thin">
        <color auto="1"/>
      </left>
      <right style="thin">
        <color auto="1"/>
      </right>
      <top style="medium">
        <color rgb="FF17375E"/>
      </top>
      <bottom/>
      <diagonal/>
    </border>
    <border>
      <left style="thin">
        <color auto="1"/>
      </left>
      <right style="medium">
        <color rgb="FF17375E"/>
      </right>
      <top style="medium">
        <color rgb="FF17375E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17375E"/>
      </left>
      <right style="thin">
        <color rgb="FF17375E"/>
      </right>
      <top style="medium">
        <color rgb="FF17375E"/>
      </top>
      <bottom style="medium">
        <color theme="1"/>
      </bottom>
      <diagonal/>
    </border>
    <border>
      <left style="thin">
        <color rgb="FF17375E"/>
      </left>
      <right style="thin">
        <color rgb="FF17375E"/>
      </right>
      <top style="medium">
        <color rgb="FF17375E"/>
      </top>
      <bottom style="medium">
        <color rgb="FF17375E"/>
      </bottom>
      <diagonal/>
    </border>
    <border>
      <left style="thin">
        <color rgb="FF17375E"/>
      </left>
      <right style="medium">
        <color rgb="FF17375E"/>
      </right>
      <top style="medium">
        <color rgb="FF17375E"/>
      </top>
      <bottom style="medium">
        <color rgb="FF17375E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rgb="FF17375E"/>
      </right>
      <top style="thin">
        <color rgb="FF17375E"/>
      </top>
      <bottom style="thin">
        <color rgb="FF17375E"/>
      </bottom>
      <diagonal/>
    </border>
    <border>
      <left style="thin">
        <color rgb="FF17375E"/>
      </left>
      <right style="thin">
        <color rgb="FF17375E"/>
      </right>
      <top/>
      <bottom style="thin">
        <color rgb="FF17375E"/>
      </bottom>
      <diagonal/>
    </border>
    <border>
      <left style="thin">
        <color rgb="FF17375E"/>
      </left>
      <right style="medium">
        <color theme="1"/>
      </right>
      <top/>
      <bottom style="thin">
        <color rgb="FF17375E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17375E"/>
      </right>
      <top/>
      <bottom style="thin">
        <color rgb="FF17375E"/>
      </bottom>
      <diagonal/>
    </border>
    <border>
      <left style="thin">
        <color rgb="FF17375E"/>
      </left>
      <right style="thin">
        <color rgb="FF17375E"/>
      </right>
      <top style="thin">
        <color rgb="FF17375E"/>
      </top>
      <bottom style="thin">
        <color rgb="FF17375E"/>
      </bottom>
      <diagonal/>
    </border>
    <border>
      <left style="thin">
        <color rgb="FF17375E"/>
      </left>
      <right/>
      <top style="thin">
        <color rgb="FF17375E"/>
      </top>
      <bottom style="thin">
        <color rgb="FF17375E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rgb="FF17375E"/>
      </right>
      <top style="thin">
        <color rgb="FF17375E"/>
      </top>
      <bottom/>
      <diagonal/>
    </border>
    <border>
      <left style="thin">
        <color rgb="FF17375E"/>
      </left>
      <right style="thin">
        <color rgb="FF17375E"/>
      </right>
      <top style="thin">
        <color rgb="FF17375E"/>
      </top>
      <bottom/>
      <diagonal/>
    </border>
    <border>
      <left style="thin">
        <color rgb="FF17375E"/>
      </left>
      <right style="thin">
        <color rgb="FF17375E"/>
      </right>
      <top/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rgb="FF17375E"/>
      </left>
      <right style="medium">
        <color theme="1"/>
      </right>
      <top/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rgb="FF17375E"/>
      </left>
      <right style="thin">
        <color rgb="FF17375E"/>
      </right>
      <top style="thin">
        <color rgb="FF17375E"/>
      </top>
      <bottom style="thin">
        <color indexed="64"/>
      </bottom>
      <diagonal/>
    </border>
    <border>
      <left style="thin">
        <color theme="1"/>
      </left>
      <right style="thin">
        <color rgb="FF17375E"/>
      </right>
      <top style="thin">
        <color rgb="FF17375E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164" fontId="1" fillId="0" borderId="0">
      <protection locked="0"/>
    </xf>
    <xf numFmtId="164" fontId="1" fillId="0" borderId="0">
      <protection locked="0"/>
    </xf>
    <xf numFmtId="0" fontId="1" fillId="0" borderId="0">
      <protection locked="0"/>
    </xf>
  </cellStyleXfs>
  <cellXfs count="6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8" xfId="3" applyFont="1" applyFill="1" applyBorder="1" applyAlignment="1" applyProtection="1">
      <alignment horizontal="center" vertical="center"/>
    </xf>
    <xf numFmtId="0" fontId="3" fillId="3" borderId="11" xfId="3" applyFont="1" applyFill="1" applyBorder="1" applyAlignment="1" applyProtection="1">
      <alignment horizontal="center" vertical="center"/>
    </xf>
    <xf numFmtId="165" fontId="3" fillId="3" borderId="1" xfId="3" applyNumberFormat="1" applyFont="1" applyFill="1" applyBorder="1" applyAlignment="1" applyProtection="1">
      <alignment horizontal="center" vertical="center"/>
    </xf>
    <xf numFmtId="165" fontId="3" fillId="3" borderId="1" xfId="3" applyNumberFormat="1" applyFont="1" applyFill="1" applyBorder="1" applyAlignment="1" applyProtection="1">
      <alignment horizontal="center" vertical="center" wrapText="1"/>
    </xf>
    <xf numFmtId="165" fontId="3" fillId="3" borderId="12" xfId="3" applyNumberFormat="1" applyFont="1" applyFill="1" applyBorder="1" applyAlignment="1" applyProtection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0" fontId="3" fillId="3" borderId="13" xfId="3" applyFont="1" applyFill="1" applyBorder="1" applyAlignment="1" applyProtection="1">
      <alignment horizontal="center" vertical="center" wrapText="1"/>
    </xf>
    <xf numFmtId="0" fontId="3" fillId="3" borderId="14" xfId="3" applyFont="1" applyFill="1" applyBorder="1" applyAlignment="1" applyProtection="1">
      <alignment horizontal="center" vertical="center" wrapText="1"/>
    </xf>
    <xf numFmtId="166" fontId="3" fillId="3" borderId="14" xfId="2" applyNumberFormat="1" applyFont="1" applyFill="1" applyBorder="1" applyAlignment="1" applyProtection="1">
      <alignment horizontal="center" vertical="center" wrapText="1"/>
    </xf>
    <xf numFmtId="166" fontId="3" fillId="3" borderId="15" xfId="2" applyNumberFormat="1" applyFont="1" applyFill="1" applyBorder="1" applyAlignment="1" applyProtection="1">
      <alignment horizontal="center" vertical="center" wrapText="1"/>
    </xf>
    <xf numFmtId="0" fontId="2" fillId="2" borderId="16" xfId="3" applyFont="1" applyFill="1" applyBorder="1" applyAlignment="1" applyProtection="1">
      <alignment horizontal="center" vertical="center"/>
    </xf>
    <xf numFmtId="0" fontId="2" fillId="2" borderId="17" xfId="3" applyFont="1" applyFill="1" applyBorder="1" applyAlignment="1" applyProtection="1">
      <alignment horizontal="center" vertical="center"/>
    </xf>
    <xf numFmtId="0" fontId="2" fillId="2" borderId="18" xfId="3" applyFont="1" applyFill="1" applyBorder="1" applyAlignment="1" applyProtection="1">
      <alignment horizontal="center" vertical="center"/>
    </xf>
    <xf numFmtId="166" fontId="2" fillId="2" borderId="18" xfId="3" applyNumberFormat="1" applyFont="1" applyFill="1" applyBorder="1" applyAlignment="1" applyProtection="1">
      <alignment horizontal="center" vertical="center"/>
    </xf>
    <xf numFmtId="0" fontId="2" fillId="2" borderId="18" xfId="1" applyNumberFormat="1" applyFont="1" applyFill="1" applyBorder="1" applyAlignment="1" applyProtection="1">
      <alignment horizontal="center" vertical="center"/>
    </xf>
    <xf numFmtId="167" fontId="2" fillId="2" borderId="18" xfId="1" applyNumberFormat="1" applyFont="1" applyFill="1" applyBorder="1" applyAlignment="1" applyProtection="1">
      <alignment horizontal="center" vertical="center"/>
    </xf>
    <xf numFmtId="4" fontId="2" fillId="2" borderId="18" xfId="1" applyNumberFormat="1" applyFont="1" applyFill="1" applyBorder="1" applyAlignment="1" applyProtection="1">
      <alignment horizontal="center" vertical="center"/>
    </xf>
    <xf numFmtId="166" fontId="2" fillId="2" borderId="19" xfId="3" applyNumberFormat="1" applyFont="1" applyFill="1" applyBorder="1" applyAlignment="1" applyProtection="1">
      <alignment horizontal="center" vertical="center"/>
    </xf>
    <xf numFmtId="0" fontId="2" fillId="2" borderId="20" xfId="3" applyFont="1" applyFill="1" applyBorder="1" applyAlignment="1" applyProtection="1">
      <alignment horizontal="center" vertical="center"/>
    </xf>
    <xf numFmtId="0" fontId="2" fillId="2" borderId="21" xfId="3" applyFont="1" applyFill="1" applyBorder="1" applyAlignment="1" applyProtection="1">
      <alignment horizontal="center" vertical="center"/>
    </xf>
    <xf numFmtId="0" fontId="2" fillId="2" borderId="22" xfId="3" applyFont="1" applyFill="1" applyBorder="1" applyAlignment="1" applyProtection="1">
      <alignment horizontal="center" vertical="center"/>
    </xf>
    <xf numFmtId="0" fontId="2" fillId="2" borderId="22" xfId="1" applyNumberFormat="1" applyFont="1" applyFill="1" applyBorder="1" applyAlignment="1" applyProtection="1">
      <alignment horizontal="center" vertical="center"/>
    </xf>
    <xf numFmtId="167" fontId="2" fillId="2" borderId="22" xfId="1" applyNumberFormat="1" applyFont="1" applyFill="1" applyBorder="1" applyAlignment="1" applyProtection="1">
      <alignment horizontal="center" vertical="center"/>
    </xf>
    <xf numFmtId="4" fontId="2" fillId="2" borderId="22" xfId="1" applyNumberFormat="1" applyFont="1" applyFill="1" applyBorder="1" applyAlignment="1" applyProtection="1">
      <alignment horizontal="center" vertical="center"/>
    </xf>
    <xf numFmtId="4" fontId="2" fillId="2" borderId="23" xfId="1" applyNumberFormat="1" applyFont="1" applyFill="1" applyBorder="1" applyAlignment="1" applyProtection="1">
      <alignment horizontal="center" vertical="center"/>
    </xf>
    <xf numFmtId="0" fontId="2" fillId="2" borderId="24" xfId="3" applyFont="1" applyFill="1" applyBorder="1" applyAlignment="1" applyProtection="1">
      <alignment horizontal="center" vertical="center"/>
    </xf>
    <xf numFmtId="0" fontId="2" fillId="2" borderId="25" xfId="3" applyFont="1" applyFill="1" applyBorder="1" applyAlignment="1" applyProtection="1">
      <alignment horizontal="center" vertical="center"/>
    </xf>
    <xf numFmtId="0" fontId="2" fillId="2" borderId="26" xfId="3" applyFont="1" applyFill="1" applyBorder="1" applyAlignment="1" applyProtection="1">
      <alignment horizontal="center" vertical="center"/>
    </xf>
    <xf numFmtId="166" fontId="2" fillId="2" borderId="27" xfId="3" applyNumberFormat="1" applyFont="1" applyFill="1" applyBorder="1" applyAlignment="1" applyProtection="1">
      <alignment horizontal="center" vertical="center"/>
    </xf>
    <xf numFmtId="4" fontId="2" fillId="2" borderId="26" xfId="1" applyNumberFormat="1" applyFont="1" applyFill="1" applyBorder="1" applyAlignment="1" applyProtection="1">
      <alignment horizontal="center" vertical="center"/>
    </xf>
    <xf numFmtId="0" fontId="2" fillId="2" borderId="28" xfId="3" applyFont="1" applyFill="1" applyBorder="1" applyAlignment="1" applyProtection="1">
      <alignment horizontal="center" vertical="center"/>
    </xf>
    <xf numFmtId="0" fontId="2" fillId="2" borderId="29" xfId="3" applyFont="1" applyFill="1" applyBorder="1" applyAlignment="1" applyProtection="1">
      <alignment horizontal="center" vertical="center"/>
    </xf>
    <xf numFmtId="166" fontId="2" fillId="2" borderId="29" xfId="3" applyNumberFormat="1" applyFont="1" applyFill="1" applyBorder="1" applyAlignment="1" applyProtection="1">
      <alignment horizontal="center" vertical="center"/>
    </xf>
    <xf numFmtId="4" fontId="2" fillId="2" borderId="29" xfId="1" applyNumberFormat="1" applyFont="1" applyFill="1" applyBorder="1" applyAlignment="1" applyProtection="1">
      <alignment horizontal="center" vertical="center"/>
    </xf>
    <xf numFmtId="4" fontId="2" fillId="2" borderId="25" xfId="1" applyNumberFormat="1" applyFont="1" applyFill="1" applyBorder="1" applyAlignment="1" applyProtection="1">
      <alignment horizontal="center" vertical="center"/>
    </xf>
    <xf numFmtId="166" fontId="2" fillId="2" borderId="30" xfId="3" applyNumberFormat="1" applyFont="1" applyFill="1" applyBorder="1" applyAlignment="1" applyProtection="1">
      <alignment horizontal="center" vertical="center"/>
    </xf>
    <xf numFmtId="0" fontId="2" fillId="2" borderId="0" xfId="3" applyFont="1" applyFill="1" applyAlignment="1" applyProtection="1">
      <alignment horizontal="center" vertical="center"/>
    </xf>
    <xf numFmtId="4" fontId="2" fillId="2" borderId="0" xfId="3" applyNumberFormat="1" applyFont="1" applyFill="1" applyAlignment="1" applyProtection="1">
      <alignment horizontal="center" vertical="center"/>
    </xf>
    <xf numFmtId="4" fontId="2" fillId="2" borderId="0" xfId="1" applyNumberFormat="1" applyFont="1" applyFill="1" applyAlignment="1" applyProtection="1">
      <alignment horizontal="center" vertical="center"/>
    </xf>
    <xf numFmtId="4" fontId="2" fillId="2" borderId="20" xfId="1" applyNumberFormat="1" applyFont="1" applyFill="1" applyBorder="1" applyAlignment="1" applyProtection="1">
      <alignment horizontal="center" vertical="center"/>
    </xf>
    <xf numFmtId="4" fontId="2" fillId="2" borderId="31" xfId="1" applyNumberFormat="1" applyFont="1" applyFill="1" applyBorder="1" applyAlignment="1" applyProtection="1">
      <alignment horizontal="center" vertical="center"/>
    </xf>
    <xf numFmtId="4" fontId="2" fillId="2" borderId="28" xfId="1" applyNumberFormat="1" applyFont="1" applyFill="1" applyBorder="1" applyAlignment="1" applyProtection="1">
      <alignment horizontal="center" vertical="center"/>
    </xf>
    <xf numFmtId="4" fontId="2" fillId="2" borderId="32" xfId="1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3" fillId="3" borderId="9" xfId="3" applyFont="1" applyFill="1" applyBorder="1" applyAlignment="1" applyProtection="1">
      <alignment horizontal="center" vertical="center"/>
    </xf>
    <xf numFmtId="0" fontId="3" fillId="3" borderId="10" xfId="3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2" borderId="33" xfId="1" applyNumberFormat="1" applyFont="1" applyFill="1" applyBorder="1" applyAlignment="1" applyProtection="1">
      <alignment horizontal="center" vertical="center"/>
    </xf>
    <xf numFmtId="0" fontId="2" fillId="2" borderId="34" xfId="1" applyNumberFormat="1" applyFont="1" applyFill="1" applyBorder="1" applyAlignment="1" applyProtection="1">
      <alignment horizontal="center" vertical="center"/>
    </xf>
    <xf numFmtId="14" fontId="2" fillId="2" borderId="22" xfId="1" applyNumberFormat="1" applyFont="1" applyFill="1" applyBorder="1" applyAlignment="1" applyProtection="1">
      <alignment horizontal="center" vertical="center"/>
    </xf>
    <xf numFmtId="14" fontId="2" fillId="2" borderId="26" xfId="1" applyNumberFormat="1" applyFont="1" applyFill="1" applyBorder="1" applyAlignment="1" applyProtection="1">
      <alignment horizontal="center" vertical="center"/>
    </xf>
    <xf numFmtId="14" fontId="2" fillId="2" borderId="35" xfId="1" applyNumberFormat="1" applyFont="1" applyFill="1" applyBorder="1" applyAlignment="1" applyProtection="1">
      <alignment horizontal="center" vertical="center"/>
    </xf>
    <xf numFmtId="4" fontId="7" fillId="2" borderId="22" xfId="1" applyNumberFormat="1" applyFont="1" applyFill="1" applyBorder="1" applyAlignment="1" applyProtection="1">
      <alignment horizontal="center" vertical="center"/>
    </xf>
    <xf numFmtId="4" fontId="7" fillId="2" borderId="18" xfId="1" applyNumberFormat="1" applyFont="1" applyFill="1" applyBorder="1" applyAlignment="1" applyProtection="1">
      <alignment horizontal="center" vertical="center"/>
    </xf>
  </cellXfs>
  <cellStyles count="4">
    <cellStyle name="Millares 2" xfId="1" xr:uid="{00000000-0005-0000-0000-000000000000}"/>
    <cellStyle name="Millares 3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nlyoffice.com/jsaProject" Target="jsaProject.bin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386263</xdr:colOff>
      <xdr:row>1</xdr:row>
      <xdr:rowOff>0</xdr:rowOff>
    </xdr:from>
    <xdr:to>
      <xdr:col>2</xdr:col>
      <xdr:colOff>1276349</xdr:colOff>
      <xdr:row>2</xdr:row>
      <xdr:rowOff>237825</xdr:rowOff>
    </xdr:to>
    <xdr:pic>
      <xdr:nvPicPr>
        <xdr:cNvPr id="2" name="Imagen 3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643438" y="180974"/>
          <a:ext cx="1623510" cy="5331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9"/>
  <sheetViews>
    <sheetView tabSelected="1" zoomScale="85" zoomScaleNormal="85" workbookViewId="0">
      <selection activeCell="J14" sqref="J14"/>
    </sheetView>
  </sheetViews>
  <sheetFormatPr defaultColWidth="11.42578125" defaultRowHeight="15.75" x14ac:dyDescent="0.25"/>
  <cols>
    <col min="1" max="1" width="3.85546875" style="1" customWidth="1"/>
    <col min="2" max="2" width="13.7109375" style="1" customWidth="1"/>
    <col min="3" max="3" width="28.140625" style="1" customWidth="1"/>
    <col min="4" max="4" width="15.140625" style="1" bestFit="1" customWidth="1"/>
    <col min="5" max="5" width="16.85546875" style="1" customWidth="1"/>
    <col min="6" max="6" width="18.28515625" style="1" customWidth="1"/>
    <col min="7" max="7" width="15.42578125" style="1" customWidth="1"/>
    <col min="8" max="8" width="19.140625" style="1" customWidth="1"/>
    <col min="9" max="9" width="14.28515625" style="1" bestFit="1" customWidth="1"/>
    <col min="10" max="10" width="19" style="1" customWidth="1"/>
    <col min="11" max="11" width="4.28515625" style="1" customWidth="1"/>
    <col min="12" max="16384" width="11.42578125" style="1"/>
  </cols>
  <sheetData>
    <row r="2" spans="2:10" ht="23.25" x14ac:dyDescent="0.25">
      <c r="B2" s="45"/>
      <c r="C2" s="45"/>
      <c r="D2" s="46" t="s">
        <v>0</v>
      </c>
      <c r="E2" s="46"/>
      <c r="F2" s="46"/>
      <c r="G2" s="46"/>
      <c r="H2" s="46"/>
      <c r="I2" s="46"/>
      <c r="J2" s="47"/>
    </row>
    <row r="3" spans="2:10" ht="18.75" x14ac:dyDescent="0.25">
      <c r="B3" s="45"/>
      <c r="C3" s="45"/>
      <c r="D3" s="48" t="s">
        <v>1</v>
      </c>
      <c r="E3" s="49"/>
      <c r="F3" s="50"/>
      <c r="G3" s="50"/>
      <c r="H3" s="49"/>
      <c r="I3" s="50"/>
      <c r="J3" s="51"/>
    </row>
    <row r="4" spans="2:10" ht="24.75" customHeight="1" x14ac:dyDescent="0.25">
      <c r="B4" s="2" t="s">
        <v>2</v>
      </c>
      <c r="C4" s="52" t="s">
        <v>3</v>
      </c>
      <c r="D4" s="53"/>
      <c r="E4" s="3" t="s">
        <v>4</v>
      </c>
      <c r="F4" s="4">
        <f ca="1">DATE(YEAR(TODAY()),MONTH(TODAY()),DAY(TODAY()))-WEEKDAY(TODAY(),2)+1</f>
        <v>46055</v>
      </c>
      <c r="G4" s="5" t="s">
        <v>5</v>
      </c>
      <c r="H4" s="6">
        <f ca="1">DATE(YEAR(TODAY()),MONTH(TODAY()),DAY(TODAY()))-WEEKDAY(TODAY(),2)+5</f>
        <v>46059</v>
      </c>
      <c r="I4" s="54"/>
      <c r="J4" s="54"/>
    </row>
    <row r="5" spans="2:10" x14ac:dyDescent="0.25">
      <c r="E5" s="7"/>
    </row>
    <row r="6" spans="2:10" ht="32.25" thickBot="1" x14ac:dyDescent="0.3">
      <c r="B6" s="8" t="s">
        <v>6</v>
      </c>
      <c r="C6" s="9" t="s">
        <v>7</v>
      </c>
      <c r="D6" s="9" t="s">
        <v>8</v>
      </c>
      <c r="E6" s="10" t="s">
        <v>9</v>
      </c>
      <c r="F6" s="10" t="s">
        <v>10</v>
      </c>
      <c r="G6" s="10" t="s">
        <v>11</v>
      </c>
      <c r="H6" s="10" t="s">
        <v>12</v>
      </c>
      <c r="I6" s="10" t="s">
        <v>13</v>
      </c>
      <c r="J6" s="11" t="s">
        <v>14</v>
      </c>
    </row>
    <row r="7" spans="2:10" ht="27" customHeight="1" x14ac:dyDescent="0.25">
      <c r="B7" s="12">
        <v>2771411</v>
      </c>
      <c r="C7" s="13" t="s">
        <v>25</v>
      </c>
      <c r="D7" s="14">
        <v>3176974</v>
      </c>
      <c r="E7" s="15">
        <v>0</v>
      </c>
      <c r="F7" s="23">
        <v>22260</v>
      </c>
      <c r="G7" s="17">
        <v>46056</v>
      </c>
      <c r="H7" s="16" t="s">
        <v>15</v>
      </c>
      <c r="I7" s="18" t="s">
        <v>26</v>
      </c>
      <c r="J7" s="19">
        <v>3800</v>
      </c>
    </row>
    <row r="8" spans="2:10" ht="27" customHeight="1" x14ac:dyDescent="0.25">
      <c r="B8" s="20">
        <v>10242457</v>
      </c>
      <c r="C8" s="21" t="s">
        <v>27</v>
      </c>
      <c r="D8" s="22">
        <v>29047140</v>
      </c>
      <c r="E8" s="15">
        <v>0</v>
      </c>
      <c r="F8" s="16">
        <v>22261</v>
      </c>
      <c r="G8" s="24">
        <v>46058</v>
      </c>
      <c r="H8" s="25" t="s">
        <v>15</v>
      </c>
      <c r="I8" s="25" t="s">
        <v>26</v>
      </c>
      <c r="J8" s="19">
        <v>6250</v>
      </c>
    </row>
    <row r="9" spans="2:10" ht="27" customHeight="1" x14ac:dyDescent="0.25">
      <c r="B9" s="20">
        <v>23365005</v>
      </c>
      <c r="C9" s="21" t="s">
        <v>28</v>
      </c>
      <c r="D9" s="22">
        <v>33508434</v>
      </c>
      <c r="E9" s="15">
        <v>0</v>
      </c>
      <c r="F9" s="23">
        <v>22262</v>
      </c>
      <c r="G9" s="24">
        <v>46059</v>
      </c>
      <c r="H9" s="25" t="s">
        <v>15</v>
      </c>
      <c r="I9" s="18" t="s">
        <v>26</v>
      </c>
      <c r="J9" s="19">
        <v>1355</v>
      </c>
    </row>
    <row r="10" spans="2:10" ht="27" customHeight="1" x14ac:dyDescent="0.25">
      <c r="B10" s="20">
        <v>76655466</v>
      </c>
      <c r="C10" s="21" t="s">
        <v>29</v>
      </c>
      <c r="D10" s="22">
        <v>33508435</v>
      </c>
      <c r="E10" s="15">
        <v>0</v>
      </c>
      <c r="F10" s="16">
        <v>22263</v>
      </c>
      <c r="G10" s="24">
        <v>46059</v>
      </c>
      <c r="H10" s="25" t="s">
        <v>15</v>
      </c>
      <c r="I10" s="26" t="s">
        <v>26</v>
      </c>
      <c r="J10" s="19">
        <v>3950</v>
      </c>
    </row>
    <row r="11" spans="2:10" ht="27" customHeight="1" x14ac:dyDescent="0.25">
      <c r="B11" s="20">
        <v>119779099</v>
      </c>
      <c r="C11" s="21" t="s">
        <v>30</v>
      </c>
      <c r="D11" s="22">
        <v>2127781844</v>
      </c>
      <c r="E11" s="15">
        <v>0</v>
      </c>
      <c r="F11" s="16">
        <v>22264</v>
      </c>
      <c r="G11" s="24">
        <v>46059</v>
      </c>
      <c r="H11" s="25" t="s">
        <v>15</v>
      </c>
      <c r="I11" s="61" t="s">
        <v>16</v>
      </c>
      <c r="J11" s="19">
        <v>1530</v>
      </c>
    </row>
    <row r="12" spans="2:10" ht="27" customHeight="1" x14ac:dyDescent="0.25">
      <c r="B12" s="20">
        <v>6200419</v>
      </c>
      <c r="C12" s="13" t="s">
        <v>31</v>
      </c>
      <c r="D12" s="22">
        <v>2034458199</v>
      </c>
      <c r="E12" s="15">
        <v>0</v>
      </c>
      <c r="F12" s="55">
        <v>22265</v>
      </c>
      <c r="G12" s="24">
        <v>46057</v>
      </c>
      <c r="H12" s="25" t="s">
        <v>15</v>
      </c>
      <c r="I12" s="61" t="s">
        <v>16</v>
      </c>
      <c r="J12" s="19">
        <v>973.4</v>
      </c>
    </row>
    <row r="13" spans="2:10" ht="27" customHeight="1" x14ac:dyDescent="0.25">
      <c r="B13" s="20">
        <v>6200419</v>
      </c>
      <c r="C13" s="13" t="s">
        <v>31</v>
      </c>
      <c r="D13" s="22">
        <v>1864568086</v>
      </c>
      <c r="E13" s="15">
        <v>0</v>
      </c>
      <c r="F13" s="16">
        <v>22266</v>
      </c>
      <c r="G13" s="57">
        <v>46052</v>
      </c>
      <c r="H13" s="25" t="s">
        <v>15</v>
      </c>
      <c r="I13" s="60" t="s">
        <v>16</v>
      </c>
      <c r="J13" s="19">
        <v>2237.3000000000002</v>
      </c>
    </row>
    <row r="14" spans="2:10" ht="27" customHeight="1" x14ac:dyDescent="0.25">
      <c r="B14" s="20" t="s">
        <v>15</v>
      </c>
      <c r="C14" s="13" t="s">
        <v>15</v>
      </c>
      <c r="D14" s="22" t="s">
        <v>15</v>
      </c>
      <c r="E14" s="15">
        <v>0</v>
      </c>
      <c r="F14" s="23">
        <v>22267</v>
      </c>
      <c r="G14" s="57" t="s">
        <v>15</v>
      </c>
      <c r="H14" s="25" t="s">
        <v>15</v>
      </c>
      <c r="I14" s="25" t="s">
        <v>15</v>
      </c>
      <c r="J14" s="19" t="s">
        <v>15</v>
      </c>
    </row>
    <row r="15" spans="2:10" ht="27" customHeight="1" x14ac:dyDescent="0.25">
      <c r="B15" s="20" t="s">
        <v>15</v>
      </c>
      <c r="C15" s="13" t="s">
        <v>15</v>
      </c>
      <c r="D15" s="22" t="s">
        <v>15</v>
      </c>
      <c r="E15" s="15">
        <v>0</v>
      </c>
      <c r="F15" s="16">
        <v>22268</v>
      </c>
      <c r="G15" s="57" t="s">
        <v>15</v>
      </c>
      <c r="H15" s="25" t="s">
        <v>15</v>
      </c>
      <c r="I15" s="25" t="s">
        <v>15</v>
      </c>
      <c r="J15" s="19" t="s">
        <v>15</v>
      </c>
    </row>
    <row r="16" spans="2:10" ht="27" customHeight="1" x14ac:dyDescent="0.25">
      <c r="B16" s="20" t="s">
        <v>15</v>
      </c>
      <c r="C16" s="13" t="s">
        <v>15</v>
      </c>
      <c r="D16" s="22" t="s">
        <v>15</v>
      </c>
      <c r="E16" s="15">
        <v>0</v>
      </c>
      <c r="F16" s="23">
        <v>22269</v>
      </c>
      <c r="G16" s="57" t="s">
        <v>15</v>
      </c>
      <c r="H16" s="25" t="s">
        <v>15</v>
      </c>
      <c r="I16" s="25" t="s">
        <v>15</v>
      </c>
      <c r="J16" s="19" t="s">
        <v>15</v>
      </c>
    </row>
    <row r="17" spans="2:10" ht="27" customHeight="1" x14ac:dyDescent="0.25">
      <c r="B17" s="20" t="s">
        <v>15</v>
      </c>
      <c r="C17" s="13" t="s">
        <v>15</v>
      </c>
      <c r="D17" s="22" t="s">
        <v>15</v>
      </c>
      <c r="E17" s="15">
        <v>0</v>
      </c>
      <c r="F17" s="16">
        <v>22270</v>
      </c>
      <c r="G17" s="57" t="s">
        <v>15</v>
      </c>
      <c r="H17" s="25" t="s">
        <v>15</v>
      </c>
      <c r="I17" s="25" t="s">
        <v>15</v>
      </c>
      <c r="J17" s="19" t="s">
        <v>15</v>
      </c>
    </row>
    <row r="18" spans="2:10" ht="27" customHeight="1" x14ac:dyDescent="0.25">
      <c r="B18" s="27" t="s">
        <v>15</v>
      </c>
      <c r="C18" s="28" t="s">
        <v>15</v>
      </c>
      <c r="D18" s="29" t="s">
        <v>15</v>
      </c>
      <c r="E18" s="30">
        <v>0</v>
      </c>
      <c r="F18" s="16">
        <v>22271</v>
      </c>
      <c r="G18" s="58" t="s">
        <v>15</v>
      </c>
      <c r="H18" s="31" t="s">
        <v>15</v>
      </c>
      <c r="I18" s="25" t="s">
        <v>15</v>
      </c>
      <c r="J18" s="19" t="s">
        <v>15</v>
      </c>
    </row>
    <row r="19" spans="2:10" ht="27" customHeight="1" thickBot="1" x14ac:dyDescent="0.3">
      <c r="B19" s="32" t="s">
        <v>15</v>
      </c>
      <c r="C19" s="33" t="s">
        <v>15</v>
      </c>
      <c r="D19" s="33" t="s">
        <v>15</v>
      </c>
      <c r="E19" s="34">
        <v>0</v>
      </c>
      <c r="F19" s="56">
        <v>22272</v>
      </c>
      <c r="G19" s="59" t="s">
        <v>15</v>
      </c>
      <c r="H19" s="35" t="s">
        <v>15</v>
      </c>
      <c r="I19" s="36" t="s">
        <v>15</v>
      </c>
      <c r="J19" s="37" t="s">
        <v>15</v>
      </c>
    </row>
    <row r="20" spans="2:10" ht="27" customHeight="1" x14ac:dyDescent="0.25">
      <c r="B20" s="38"/>
      <c r="C20" s="38"/>
      <c r="D20" s="38"/>
      <c r="E20" s="39"/>
      <c r="F20" s="40"/>
      <c r="G20" s="40"/>
      <c r="H20" s="40"/>
      <c r="I20" s="41" t="s">
        <v>17</v>
      </c>
      <c r="J20" s="42">
        <f>SUM(J7:J19)</f>
        <v>20095.7</v>
      </c>
    </row>
    <row r="21" spans="2:10" ht="27" customHeight="1" x14ac:dyDescent="0.25">
      <c r="B21" s="38"/>
      <c r="C21" s="38"/>
      <c r="D21" s="38"/>
      <c r="E21" s="39"/>
      <c r="F21" s="40"/>
      <c r="G21" s="40"/>
      <c r="H21" s="40"/>
      <c r="I21" s="41"/>
      <c r="J21" s="42"/>
    </row>
    <row r="22" spans="2:10" ht="27" customHeight="1" x14ac:dyDescent="0.25">
      <c r="B22" s="38"/>
      <c r="C22" s="38"/>
      <c r="D22" s="38"/>
      <c r="E22" s="39"/>
      <c r="F22" s="40"/>
      <c r="G22" s="40"/>
      <c r="H22" s="40"/>
      <c r="I22" s="41"/>
      <c r="J22" s="42"/>
    </row>
    <row r="23" spans="2:10" ht="27" customHeight="1" x14ac:dyDescent="0.25">
      <c r="B23" s="38"/>
      <c r="C23" s="38"/>
      <c r="D23" s="38"/>
      <c r="E23" s="39"/>
      <c r="F23" s="40"/>
      <c r="G23" s="40"/>
      <c r="H23" s="40"/>
      <c r="I23" s="41" t="s">
        <v>18</v>
      </c>
      <c r="J23" s="42"/>
    </row>
    <row r="24" spans="2:10" ht="27.75" customHeight="1" x14ac:dyDescent="0.25">
      <c r="B24" s="38"/>
      <c r="C24" s="38"/>
      <c r="D24" s="38"/>
      <c r="E24" s="39"/>
      <c r="F24" s="40"/>
      <c r="G24" s="40"/>
      <c r="H24" s="40"/>
      <c r="I24" s="41" t="s">
        <v>19</v>
      </c>
      <c r="J24" s="42">
        <f>J20-J27</f>
        <v>20095.7</v>
      </c>
    </row>
    <row r="25" spans="2:10" ht="27" customHeight="1" x14ac:dyDescent="0.25">
      <c r="B25" s="38"/>
      <c r="C25" s="38"/>
      <c r="D25" s="38"/>
      <c r="E25" s="39"/>
      <c r="F25" s="40"/>
      <c r="G25" s="40"/>
      <c r="H25" s="40"/>
      <c r="I25" s="41" t="s">
        <v>20</v>
      </c>
      <c r="J25" s="42">
        <v>0</v>
      </c>
    </row>
    <row r="26" spans="2:10" ht="27" customHeight="1" x14ac:dyDescent="0.25">
      <c r="B26" s="38"/>
      <c r="C26" s="38"/>
      <c r="D26" s="38"/>
      <c r="E26" s="39"/>
      <c r="F26" s="40"/>
      <c r="G26" s="40"/>
      <c r="H26" s="40"/>
      <c r="I26" s="41" t="s">
        <v>21</v>
      </c>
      <c r="J26" s="42">
        <v>0</v>
      </c>
    </row>
    <row r="27" spans="2:10" ht="27" customHeight="1" x14ac:dyDescent="0.25">
      <c r="B27" s="38"/>
      <c r="C27" s="38"/>
      <c r="D27" s="38"/>
      <c r="E27" s="39"/>
      <c r="F27" s="40"/>
      <c r="G27" s="40"/>
      <c r="H27" s="40"/>
      <c r="I27" s="41" t="s">
        <v>22</v>
      </c>
      <c r="J27" s="42">
        <v>0</v>
      </c>
    </row>
    <row r="28" spans="2:10" ht="27" customHeight="1" x14ac:dyDescent="0.25">
      <c r="B28" s="38"/>
      <c r="C28" s="38"/>
      <c r="D28" s="38"/>
      <c r="E28" s="39"/>
      <c r="F28" s="40"/>
      <c r="G28" s="40"/>
      <c r="H28" s="40"/>
      <c r="I28" s="41" t="s">
        <v>23</v>
      </c>
      <c r="J28" s="42">
        <v>0</v>
      </c>
    </row>
    <row r="29" spans="2:10" ht="27" customHeight="1" x14ac:dyDescent="0.25">
      <c r="B29" s="38"/>
      <c r="C29" s="38"/>
      <c r="D29" s="38"/>
      <c r="E29" s="39"/>
      <c r="F29" s="40"/>
      <c r="G29" s="40"/>
      <c r="H29" s="40"/>
      <c r="I29" s="43" t="s">
        <v>24</v>
      </c>
      <c r="J29" s="44">
        <f>SUM(J24:J28)</f>
        <v>20095.7</v>
      </c>
    </row>
  </sheetData>
  <mergeCells count="5">
    <mergeCell ref="B2:C3"/>
    <mergeCell ref="D2:J2"/>
    <mergeCell ref="D3:J3"/>
    <mergeCell ref="C4:D4"/>
    <mergeCell ref="I4:J4"/>
  </mergeCells>
  <dataValidations disablePrompts="1" count="1">
    <dataValidation type="list" allowBlank="1" showInputMessage="1" showErrorMessage="1" sqref="D3:J3" xr:uid="{00B100D0-0095-4B95-8235-002000E70070}">
      <formula1>"Semana: Gira Huehuetenango Cabecera,Semana: Gira Totonicapán Híbrido,Semana: Gira Huehuetenango Montaña Baja,Semana: Gira Huehuetenango Montaña Baja"</formula1>
    </dataValidation>
  </dataValidations>
  <pageMargins left="0" right="0" top="0" bottom="0" header="0" footer="0"/>
  <pageSetup paperSize="9" scale="75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Hoja1</vt:lpstr>
      <vt:lpstr>Hoja1!Print_Area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 FarmaCarex</dc:creator>
  <cp:lastModifiedBy>Oscar Samuel Martínez</cp:lastModifiedBy>
  <cp:revision>3</cp:revision>
  <cp:lastPrinted>2026-02-07T19:55:04Z</cp:lastPrinted>
  <dcterms:created xsi:type="dcterms:W3CDTF">2022-01-10T21:03:37Z</dcterms:created>
  <dcterms:modified xsi:type="dcterms:W3CDTF">2026-02-07T20:01:05Z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1d54ac02eb0c4d53bc76e05f7e373c72</vt:lpwstr>
  </property>
</Properties>
</file>